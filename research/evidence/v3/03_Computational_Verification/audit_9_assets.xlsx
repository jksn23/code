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bot_AHP" state="visible" r:id="rId4"/>
    <sheet sheetId="2" name="Matriks_Keputusan" state="visible" r:id="rId5"/>
    <sheet sheetId="3" name="Normalisasi_SAW" state="visible" r:id="rId6"/>
    <sheet sheetId="4" name="Preferensi" state="visible" r:id="rId7"/>
    <sheet sheetId="5" name="Verifikasi_Sistem" state="visible" r:id="rId8"/>
  </sheets>
  <calcPr calcId="171027"/>
</workbook>
</file>

<file path=xl/sharedStrings.xml><?xml version="1.0" encoding="utf-8"?>
<sst xmlns="http://schemas.openxmlformats.org/spreadsheetml/2006/main" count="325" uniqueCount="69">
  <si>
    <t>Kategori</t>
  </si>
  <si>
    <t>Kode</t>
  </si>
  <si>
    <t>Nama Kriteria</t>
  </si>
  <si>
    <t>Tipe</t>
  </si>
  <si>
    <t>Bobot Group AHP</t>
  </si>
  <si>
    <t>Tanah dan Bangunan</t>
  </si>
  <si>
    <t>Lokasi dan Aksesibilitas</t>
  </si>
  <si>
    <t>benefit</t>
  </si>
  <si>
    <t>Legalitas</t>
  </si>
  <si>
    <t>Luas</t>
  </si>
  <si>
    <t>Kondisi Fisik</t>
  </si>
  <si>
    <t>Fasilitas Sekitar</t>
  </si>
  <si>
    <t>Lingkungan dan Risiko</t>
  </si>
  <si>
    <t>cost</t>
  </si>
  <si>
    <t>Potensi Pengembangan</t>
  </si>
  <si>
    <t>Aset</t>
  </si>
  <si>
    <t>Rumah Tipe 45/90</t>
  </si>
  <si>
    <t>Ruko 2 Lantai</t>
  </si>
  <si>
    <t>Tanah Kavling</t>
  </si>
  <si>
    <t>Toyota Avanza 2019</t>
  </si>
  <si>
    <t>Kendaraan</t>
  </si>
  <si>
    <t>Honda Beat 2021</t>
  </si>
  <si>
    <t>Mitsubishi Xpander 2018</t>
  </si>
  <si>
    <t>Laptop Lenovo ThinkPad 2021</t>
  </si>
  <si>
    <t>Elektronik</t>
  </si>
  <si>
    <t>iPhone 12 128GB</t>
  </si>
  <si>
    <t>Kamera Canon EOS 700D</t>
  </si>
  <si>
    <t>Kriteria</t>
  </si>
  <si>
    <t>Nilai Asli</t>
  </si>
  <si>
    <t>Max</t>
  </si>
  <si>
    <t>Min</t>
  </si>
  <si>
    <t>r_ij (Formula)</t>
  </si>
  <si>
    <t>Kondisi Mesin</t>
  </si>
  <si>
    <t>Performa</t>
  </si>
  <si>
    <t>Kilometer</t>
  </si>
  <si>
    <t>Tahun Produksi</t>
  </si>
  <si>
    <t>Riwayat Kendaraan</t>
  </si>
  <si>
    <t>Merek atau Model</t>
  </si>
  <si>
    <t>Kondisi Barang</t>
  </si>
  <si>
    <t>Spesifikasi Teknis</t>
  </si>
  <si>
    <t>Performa atau Fungsi</t>
  </si>
  <si>
    <t>Usia Pemakaian</t>
  </si>
  <si>
    <t>Merek</t>
  </si>
  <si>
    <t>Kelengkapan</t>
  </si>
  <si>
    <t>Median Ref (Rp)</t>
  </si>
  <si>
    <t>Pref System</t>
  </si>
  <si>
    <t>Pref Workbook</t>
  </si>
  <si>
    <t>Selisih Pref</t>
  </si>
  <si>
    <t>Limit System</t>
  </si>
  <si>
    <t>Limit Workbook</t>
  </si>
  <si>
    <t>Selisih Limit</t>
  </si>
  <si>
    <t>Status</t>
  </si>
  <si>
    <t>PASS</t>
  </si>
  <si>
    <t>Properti</t>
  </si>
  <si>
    <t>Nilai</t>
  </si>
  <si>
    <t>Metode</t>
  </si>
  <si>
    <t>RELATIVE_SAW</t>
  </si>
  <si>
    <t>Versi Formula</t>
  </si>
  <si>
    <t>LIMIT_V3</t>
  </si>
  <si>
    <t>Jumlah Aset</t>
  </si>
  <si>
    <t>Jumlah Pembanding</t>
  </si>
  <si>
    <t>Toleransi Preferensi</t>
  </si>
  <si>
    <t>1e-12</t>
  </si>
  <si>
    <t>Toleransi Limit</t>
  </si>
  <si>
    <t>Rp 1</t>
  </si>
  <si>
    <t>Commit</t>
  </si>
  <si>
    <t>1e761475bade16eff8369172dab895a1aeec48c2</t>
  </si>
  <si>
    <t>Build</t>
  </si>
  <si>
    <t>JCIS-V3-20260715015521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</si>
</sst>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129</v>
      </c>
      <c r="C2" t="s">
        <v>6</v>
      </c>
      <c r="D2" t="s">
        <v>7</v>
      </c>
      <c r="E2">
        <v>0.286256</v>
      </c>
    </row>
    <row r="3" spans="1:5" x14ac:dyDescent="0.25">
      <c r="A3" t="s">
        <v>5</v>
      </c>
      <c r="B3">
        <v>130</v>
      </c>
      <c r="C3" t="s">
        <v>8</v>
      </c>
      <c r="D3" t="s">
        <v>7</v>
      </c>
      <c r="E3">
        <v>0.245351</v>
      </c>
    </row>
    <row r="4" spans="1:5" x14ac:dyDescent="0.25">
      <c r="A4" t="s">
        <v>5</v>
      </c>
      <c r="B4">
        <v>131</v>
      </c>
      <c r="C4" t="s">
        <v>9</v>
      </c>
      <c r="D4" t="s">
        <v>7</v>
      </c>
      <c r="E4">
        <v>0.144588</v>
      </c>
    </row>
    <row r="5" spans="1:5" x14ac:dyDescent="0.25">
      <c r="A5" t="s">
        <v>5</v>
      </c>
      <c r="B5">
        <v>132</v>
      </c>
      <c r="C5" t="s">
        <v>10</v>
      </c>
      <c r="D5" t="s">
        <v>7</v>
      </c>
      <c r="E5">
        <v>0.115004</v>
      </c>
    </row>
    <row r="6" spans="1:5" x14ac:dyDescent="0.25">
      <c r="A6" t="s">
        <v>5</v>
      </c>
      <c r="B6">
        <v>133</v>
      </c>
      <c r="C6" t="s">
        <v>11</v>
      </c>
      <c r="D6" t="s">
        <v>7</v>
      </c>
      <c r="E6">
        <v>0.073163</v>
      </c>
    </row>
    <row r="7" spans="1:5" x14ac:dyDescent="0.25">
      <c r="A7" t="s">
        <v>5</v>
      </c>
      <c r="B7">
        <v>134</v>
      </c>
      <c r="C7" t="s">
        <v>12</v>
      </c>
      <c r="D7" t="s">
        <v>13</v>
      </c>
      <c r="E7">
        <v>0.073979</v>
      </c>
    </row>
    <row r="8" spans="1:5" x14ac:dyDescent="0.25">
      <c r="A8" t="s">
        <v>5</v>
      </c>
      <c r="B8">
        <v>135</v>
      </c>
      <c r="C8" t="s">
        <v>14</v>
      </c>
      <c r="D8" t="s">
        <v>7</v>
      </c>
      <c r="E8">
        <v>0.061659</v>
      </c>
    </row>
    <row r="9" spans="1:5" x14ac:dyDescent="0.25">
      <c r="A9" t="s">
        <v>5</v>
      </c>
      <c r="B9">
        <v>129</v>
      </c>
      <c r="C9" t="s">
        <v>6</v>
      </c>
      <c r="D9" t="s">
        <v>7</v>
      </c>
      <c r="E9">
        <v>0.286256</v>
      </c>
    </row>
    <row r="10" spans="1:5" x14ac:dyDescent="0.25">
      <c r="A10" t="s">
        <v>5</v>
      </c>
      <c r="B10">
        <v>130</v>
      </c>
      <c r="C10" t="s">
        <v>8</v>
      </c>
      <c r="D10" t="s">
        <v>7</v>
      </c>
      <c r="E10">
        <v>0.245351</v>
      </c>
    </row>
    <row r="11" spans="1:5" x14ac:dyDescent="0.25">
      <c r="A11" t="s">
        <v>5</v>
      </c>
      <c r="B11">
        <v>131</v>
      </c>
      <c r="C11" t="s">
        <v>9</v>
      </c>
      <c r="D11" t="s">
        <v>7</v>
      </c>
      <c r="E11">
        <v>0.144588</v>
      </c>
    </row>
    <row r="12" spans="1:5" x14ac:dyDescent="0.25">
      <c r="A12" t="s">
        <v>5</v>
      </c>
      <c r="B12">
        <v>132</v>
      </c>
      <c r="C12" t="s">
        <v>10</v>
      </c>
      <c r="D12" t="s">
        <v>7</v>
      </c>
      <c r="E12">
        <v>0.115004</v>
      </c>
    </row>
    <row r="13" spans="1:5" x14ac:dyDescent="0.25">
      <c r="A13" t="s">
        <v>5</v>
      </c>
      <c r="B13">
        <v>133</v>
      </c>
      <c r="C13" t="s">
        <v>11</v>
      </c>
      <c r="D13" t="s">
        <v>7</v>
      </c>
      <c r="E13">
        <v>0.073163</v>
      </c>
    </row>
    <row r="14" spans="1:5" x14ac:dyDescent="0.25">
      <c r="A14" t="s">
        <v>5</v>
      </c>
      <c r="B14">
        <v>134</v>
      </c>
      <c r="C14" t="s">
        <v>12</v>
      </c>
      <c r="D14" t="s">
        <v>13</v>
      </c>
      <c r="E14">
        <v>0.073979</v>
      </c>
    </row>
    <row r="15" spans="1:5" x14ac:dyDescent="0.25">
      <c r="A15" t="s">
        <v>5</v>
      </c>
      <c r="B15">
        <v>135</v>
      </c>
      <c r="C15" t="s">
        <v>14</v>
      </c>
      <c r="D15" t="s">
        <v>7</v>
      </c>
      <c r="E15">
        <v>0.061659</v>
      </c>
    </row>
    <row r="16" spans="1:5" x14ac:dyDescent="0.25">
      <c r="A16" t="s">
        <v>5</v>
      </c>
      <c r="B16">
        <v>129</v>
      </c>
      <c r="C16" t="s">
        <v>6</v>
      </c>
      <c r="D16" t="s">
        <v>7</v>
      </c>
      <c r="E16">
        <v>0.286256</v>
      </c>
    </row>
    <row r="17" spans="1:5" x14ac:dyDescent="0.25">
      <c r="A17" t="s">
        <v>5</v>
      </c>
      <c r="B17">
        <v>130</v>
      </c>
      <c r="C17" t="s">
        <v>8</v>
      </c>
      <c r="D17" t="s">
        <v>7</v>
      </c>
      <c r="E17">
        <v>0.245351</v>
      </c>
    </row>
    <row r="18" spans="1:5" x14ac:dyDescent="0.25">
      <c r="A18" t="s">
        <v>5</v>
      </c>
      <c r="B18">
        <v>131</v>
      </c>
      <c r="C18" t="s">
        <v>9</v>
      </c>
      <c r="D18" t="s">
        <v>7</v>
      </c>
      <c r="E18">
        <v>0.144588</v>
      </c>
    </row>
    <row r="19" spans="1:5" x14ac:dyDescent="0.25">
      <c r="A19" t="s">
        <v>5</v>
      </c>
      <c r="B19">
        <v>132</v>
      </c>
      <c r="C19" t="s">
        <v>10</v>
      </c>
      <c r="D19" t="s">
        <v>7</v>
      </c>
      <c r="E19">
        <v>0.115004</v>
      </c>
    </row>
    <row r="20" spans="1:5" x14ac:dyDescent="0.25">
      <c r="A20" t="s">
        <v>5</v>
      </c>
      <c r="B20">
        <v>133</v>
      </c>
      <c r="C20" t="s">
        <v>11</v>
      </c>
      <c r="D20" t="s">
        <v>7</v>
      </c>
      <c r="E20">
        <v>0.073163</v>
      </c>
    </row>
    <row r="21" spans="1:5" x14ac:dyDescent="0.25">
      <c r="A21" t="s">
        <v>5</v>
      </c>
      <c r="B21">
        <v>134</v>
      </c>
      <c r="C21" t="s">
        <v>12</v>
      </c>
      <c r="D21" t="s">
        <v>13</v>
      </c>
      <c r="E21">
        <v>0.073979</v>
      </c>
    </row>
    <row r="22" spans="1:5" x14ac:dyDescent="0.25">
      <c r="A22" t="s">
        <v>5</v>
      </c>
      <c r="B22">
        <v>135</v>
      </c>
      <c r="C22" t="s">
        <v>14</v>
      </c>
      <c r="D22" t="s">
        <v>7</v>
      </c>
      <c r="E22">
        <v>0.061659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sheetData>
    <row r="1" spans="1:9" x14ac:dyDescent="0.25">
      <c r="A1" t="s">
        <v>15</v>
      </c>
      <c r="B1" t="s">
        <v>0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14</v>
      </c>
    </row>
    <row r="2" spans="1:9" x14ac:dyDescent="0.25">
      <c r="A2" t="s">
        <v>16</v>
      </c>
      <c r="B2" t="s">
        <v>5</v>
      </c>
      <c r="C2">
        <v>4</v>
      </c>
      <c r="D2">
        <v>5</v>
      </c>
      <c r="E2">
        <v>3</v>
      </c>
      <c r="F2">
        <v>4</v>
      </c>
      <c r="G2">
        <v>4</v>
      </c>
      <c r="H2">
        <v>2</v>
      </c>
      <c r="I2">
        <v>3</v>
      </c>
    </row>
    <row r="3" spans="1:9" x14ac:dyDescent="0.25">
      <c r="A3" t="s">
        <v>17</v>
      </c>
      <c r="B3" t="s">
        <v>5</v>
      </c>
      <c r="C3">
        <v>5</v>
      </c>
      <c r="D3">
        <v>5</v>
      </c>
      <c r="E3">
        <v>4</v>
      </c>
      <c r="F3">
        <v>4</v>
      </c>
      <c r="G3">
        <v>5</v>
      </c>
      <c r="H3">
        <v>2</v>
      </c>
      <c r="I3">
        <v>4</v>
      </c>
    </row>
    <row r="4" spans="1:9" x14ac:dyDescent="0.25">
      <c r="A4" t="s">
        <v>18</v>
      </c>
      <c r="B4" t="s">
        <v>5</v>
      </c>
      <c r="C4">
        <v>3</v>
      </c>
      <c r="D4">
        <v>4</v>
      </c>
      <c r="E4">
        <v>4</v>
      </c>
      <c r="F4">
        <v>3</v>
      </c>
      <c r="G4">
        <v>3</v>
      </c>
      <c r="H4">
        <v>3</v>
      </c>
      <c r="I4">
        <v>5</v>
      </c>
    </row>
    <row r="5" spans="1:9" x14ac:dyDescent="0.25">
      <c r="A5" t="s">
        <v>19</v>
      </c>
      <c r="B5" t="s">
        <v>20</v>
      </c>
      <c r="C5">
        <v>4</v>
      </c>
      <c r="D5">
        <v>4</v>
      </c>
      <c r="E5">
        <v>3</v>
      </c>
      <c r="F5">
        <v>4</v>
      </c>
      <c r="G5">
        <v>4</v>
      </c>
      <c r="H5">
        <v>5</v>
      </c>
      <c r="I5">
        <v>4</v>
      </c>
    </row>
    <row r="6" spans="1:9" x14ac:dyDescent="0.25">
      <c r="A6" t="s">
        <v>21</v>
      </c>
      <c r="B6" t="s">
        <v>20</v>
      </c>
      <c r="C6">
        <v>4</v>
      </c>
      <c r="D6">
        <v>4</v>
      </c>
      <c r="E6">
        <v>2</v>
      </c>
      <c r="F6">
        <v>5</v>
      </c>
      <c r="G6">
        <v>4</v>
      </c>
      <c r="H6">
        <v>4</v>
      </c>
      <c r="I6">
        <v>4</v>
      </c>
    </row>
    <row r="7" spans="1:9" x14ac:dyDescent="0.25">
      <c r="A7" t="s">
        <v>22</v>
      </c>
      <c r="B7" t="s">
        <v>20</v>
      </c>
      <c r="C7">
        <v>4</v>
      </c>
      <c r="D7">
        <v>5</v>
      </c>
      <c r="E7">
        <v>4</v>
      </c>
      <c r="F7">
        <v>3</v>
      </c>
      <c r="G7">
        <v>3</v>
      </c>
      <c r="H7">
        <v>5</v>
      </c>
      <c r="I7">
        <v>4</v>
      </c>
    </row>
    <row r="8" spans="1:8" x14ac:dyDescent="0.25">
      <c r="A8" t="s">
        <v>23</v>
      </c>
      <c r="B8" t="s">
        <v>24</v>
      </c>
      <c r="C8">
        <v>4</v>
      </c>
      <c r="D8">
        <v>4</v>
      </c>
      <c r="E8">
        <v>4</v>
      </c>
      <c r="F8">
        <v>3</v>
      </c>
      <c r="G8">
        <v>5</v>
      </c>
      <c r="H8">
        <v>4</v>
      </c>
    </row>
    <row r="9" spans="1:8" x14ac:dyDescent="0.25">
      <c r="A9" t="s">
        <v>25</v>
      </c>
      <c r="B9" t="s">
        <v>24</v>
      </c>
      <c r="C9">
        <v>4</v>
      </c>
      <c r="D9">
        <v>4</v>
      </c>
      <c r="E9">
        <v>4</v>
      </c>
      <c r="F9">
        <v>3</v>
      </c>
      <c r="G9">
        <v>5</v>
      </c>
      <c r="H9">
        <v>3</v>
      </c>
    </row>
    <row r="10" spans="1:8" x14ac:dyDescent="0.25">
      <c r="A10" t="s">
        <v>26</v>
      </c>
      <c r="B10" t="s">
        <v>24</v>
      </c>
      <c r="C10">
        <v>3</v>
      </c>
      <c r="D10">
        <v>3</v>
      </c>
      <c r="E10">
        <v>4</v>
      </c>
      <c r="F10">
        <v>4</v>
      </c>
      <c r="G10">
        <v>4</v>
      </c>
      <c r="H10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sheetData>
    <row r="1" spans="1:7" x14ac:dyDescent="0.25">
      <c r="A1" t="s">
        <v>15</v>
      </c>
      <c r="B1" t="s">
        <v>27</v>
      </c>
      <c r="C1" t="s">
        <v>3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25">
      <c r="A2" t="s">
        <v>16</v>
      </c>
      <c r="B2" t="s">
        <v>6</v>
      </c>
      <c r="C2" t="s">
        <v>7</v>
      </c>
      <c r="D2">
        <v>4</v>
      </c>
      <c r="E2">
        <v>5</v>
      </c>
      <c r="F2">
        <v>3</v>
      </c>
      <c r="G2">
        <f>=4/5</f>
        <v>0.8</v>
      </c>
    </row>
    <row r="3" spans="1:7" x14ac:dyDescent="0.25">
      <c r="A3" t="s">
        <v>16</v>
      </c>
      <c r="B3" t="s">
        <v>8</v>
      </c>
      <c r="C3" t="s">
        <v>7</v>
      </c>
      <c r="D3">
        <v>5</v>
      </c>
      <c r="E3">
        <v>5</v>
      </c>
      <c r="F3">
        <v>4</v>
      </c>
      <c r="G3">
        <f>=5/5</f>
        <v>1</v>
      </c>
    </row>
    <row r="4" spans="1:7" x14ac:dyDescent="0.25">
      <c r="A4" t="s">
        <v>16</v>
      </c>
      <c r="B4" t="s">
        <v>9</v>
      </c>
      <c r="C4" t="s">
        <v>7</v>
      </c>
      <c r="D4">
        <v>3</v>
      </c>
      <c r="E4">
        <v>4</v>
      </c>
      <c r="F4">
        <v>3</v>
      </c>
      <c r="G4">
        <f>=3/4</f>
        <v>0.75</v>
      </c>
    </row>
    <row r="5" spans="1:7" x14ac:dyDescent="0.25">
      <c r="A5" t="s">
        <v>16</v>
      </c>
      <c r="B5" t="s">
        <v>10</v>
      </c>
      <c r="C5" t="s">
        <v>7</v>
      </c>
      <c r="D5">
        <v>4</v>
      </c>
      <c r="E5">
        <v>4</v>
      </c>
      <c r="F5">
        <v>3</v>
      </c>
      <c r="G5">
        <f>=4/4</f>
        <v>1</v>
      </c>
    </row>
    <row r="6" spans="1:7" x14ac:dyDescent="0.25">
      <c r="A6" t="s">
        <v>16</v>
      </c>
      <c r="B6" t="s">
        <v>11</v>
      </c>
      <c r="C6" t="s">
        <v>7</v>
      </c>
      <c r="D6">
        <v>4</v>
      </c>
      <c r="E6">
        <v>5</v>
      </c>
      <c r="F6">
        <v>3</v>
      </c>
      <c r="G6">
        <f>=4/5</f>
        <v>0.8</v>
      </c>
    </row>
    <row r="7" spans="1:7" x14ac:dyDescent="0.25">
      <c r="A7" t="s">
        <v>16</v>
      </c>
      <c r="B7" t="s">
        <v>12</v>
      </c>
      <c r="C7" t="s">
        <v>13</v>
      </c>
      <c r="D7">
        <v>2</v>
      </c>
      <c r="E7">
        <v>3</v>
      </c>
      <c r="F7">
        <v>2</v>
      </c>
      <c r="G7">
        <f>=2/2</f>
        <v>1</v>
      </c>
    </row>
    <row r="8" spans="1:7" x14ac:dyDescent="0.25">
      <c r="A8" t="s">
        <v>16</v>
      </c>
      <c r="B8" t="s">
        <v>14</v>
      </c>
      <c r="C8" t="s">
        <v>7</v>
      </c>
      <c r="D8">
        <v>3</v>
      </c>
      <c r="E8">
        <v>5</v>
      </c>
      <c r="F8">
        <v>3</v>
      </c>
      <c r="G8">
        <f>=3/5</f>
        <v>0.6</v>
      </c>
    </row>
    <row r="9" spans="1:7" x14ac:dyDescent="0.25">
      <c r="A9" t="s">
        <v>17</v>
      </c>
      <c r="B9" t="s">
        <v>6</v>
      </c>
      <c r="C9" t="s">
        <v>7</v>
      </c>
      <c r="D9">
        <v>5</v>
      </c>
      <c r="E9">
        <v>5</v>
      </c>
      <c r="F9">
        <v>3</v>
      </c>
      <c r="G9">
        <f>=5/5</f>
        <v>1</v>
      </c>
    </row>
    <row r="10" spans="1:7" x14ac:dyDescent="0.25">
      <c r="A10" t="s">
        <v>17</v>
      </c>
      <c r="B10" t="s">
        <v>8</v>
      </c>
      <c r="C10" t="s">
        <v>7</v>
      </c>
      <c r="D10">
        <v>5</v>
      </c>
      <c r="E10">
        <v>5</v>
      </c>
      <c r="F10">
        <v>4</v>
      </c>
      <c r="G10">
        <f>=5/5</f>
        <v>1</v>
      </c>
    </row>
    <row r="11" spans="1:7" x14ac:dyDescent="0.25">
      <c r="A11" t="s">
        <v>17</v>
      </c>
      <c r="B11" t="s">
        <v>9</v>
      </c>
      <c r="C11" t="s">
        <v>7</v>
      </c>
      <c r="D11">
        <v>4</v>
      </c>
      <c r="E11">
        <v>4</v>
      </c>
      <c r="F11">
        <v>3</v>
      </c>
      <c r="G11">
        <f>=4/4</f>
        <v>1</v>
      </c>
    </row>
    <row r="12" spans="1:7" x14ac:dyDescent="0.25">
      <c r="A12" t="s">
        <v>17</v>
      </c>
      <c r="B12" t="s">
        <v>10</v>
      </c>
      <c r="C12" t="s">
        <v>7</v>
      </c>
      <c r="D12">
        <v>4</v>
      </c>
      <c r="E12">
        <v>4</v>
      </c>
      <c r="F12">
        <v>3</v>
      </c>
      <c r="G12">
        <f>=4/4</f>
        <v>1</v>
      </c>
    </row>
    <row r="13" spans="1:7" x14ac:dyDescent="0.25">
      <c r="A13" t="s">
        <v>17</v>
      </c>
      <c r="B13" t="s">
        <v>11</v>
      </c>
      <c r="C13" t="s">
        <v>7</v>
      </c>
      <c r="D13">
        <v>5</v>
      </c>
      <c r="E13">
        <v>5</v>
      </c>
      <c r="F13">
        <v>3</v>
      </c>
      <c r="G13">
        <f>=5/5</f>
        <v>1</v>
      </c>
    </row>
    <row r="14" spans="1:7" x14ac:dyDescent="0.25">
      <c r="A14" t="s">
        <v>17</v>
      </c>
      <c r="B14" t="s">
        <v>12</v>
      </c>
      <c r="C14" t="s">
        <v>13</v>
      </c>
      <c r="D14">
        <v>2</v>
      </c>
      <c r="E14">
        <v>3</v>
      </c>
      <c r="F14">
        <v>2</v>
      </c>
      <c r="G14">
        <f>=2/2</f>
        <v>1</v>
      </c>
    </row>
    <row r="15" spans="1:7" x14ac:dyDescent="0.25">
      <c r="A15" t="s">
        <v>17</v>
      </c>
      <c r="B15" t="s">
        <v>14</v>
      </c>
      <c r="C15" t="s">
        <v>7</v>
      </c>
      <c r="D15">
        <v>4</v>
      </c>
      <c r="E15">
        <v>5</v>
      </c>
      <c r="F15">
        <v>3</v>
      </c>
      <c r="G15">
        <f>=4/5</f>
        <v>0.8</v>
      </c>
    </row>
    <row r="16" spans="1:7" x14ac:dyDescent="0.25">
      <c r="A16" t="s">
        <v>18</v>
      </c>
      <c r="B16" t="s">
        <v>6</v>
      </c>
      <c r="C16" t="s">
        <v>7</v>
      </c>
      <c r="D16">
        <v>3</v>
      </c>
      <c r="E16">
        <v>5</v>
      </c>
      <c r="F16">
        <v>3</v>
      </c>
      <c r="G16">
        <f>=3/5</f>
        <v>0.6</v>
      </c>
    </row>
    <row r="17" spans="1:7" x14ac:dyDescent="0.25">
      <c r="A17" t="s">
        <v>18</v>
      </c>
      <c r="B17" t="s">
        <v>8</v>
      </c>
      <c r="C17" t="s">
        <v>7</v>
      </c>
      <c r="D17">
        <v>4</v>
      </c>
      <c r="E17">
        <v>5</v>
      </c>
      <c r="F17">
        <v>4</v>
      </c>
      <c r="G17">
        <f>=4/5</f>
        <v>0.8</v>
      </c>
    </row>
    <row r="18" spans="1:7" x14ac:dyDescent="0.25">
      <c r="A18" t="s">
        <v>18</v>
      </c>
      <c r="B18" t="s">
        <v>9</v>
      </c>
      <c r="C18" t="s">
        <v>7</v>
      </c>
      <c r="D18">
        <v>4</v>
      </c>
      <c r="E18">
        <v>4</v>
      </c>
      <c r="F18">
        <v>3</v>
      </c>
      <c r="G18">
        <f>=4/4</f>
        <v>1</v>
      </c>
    </row>
    <row r="19" spans="1:7" x14ac:dyDescent="0.25">
      <c r="A19" t="s">
        <v>18</v>
      </c>
      <c r="B19" t="s">
        <v>10</v>
      </c>
      <c r="C19" t="s">
        <v>7</v>
      </c>
      <c r="D19">
        <v>3</v>
      </c>
      <c r="E19">
        <v>4</v>
      </c>
      <c r="F19">
        <v>3</v>
      </c>
      <c r="G19">
        <f>=3/4</f>
        <v>0.75</v>
      </c>
    </row>
    <row r="20" spans="1:7" x14ac:dyDescent="0.25">
      <c r="A20" t="s">
        <v>18</v>
      </c>
      <c r="B20" t="s">
        <v>11</v>
      </c>
      <c r="C20" t="s">
        <v>7</v>
      </c>
      <c r="D20">
        <v>3</v>
      </c>
      <c r="E20">
        <v>5</v>
      </c>
      <c r="F20">
        <v>3</v>
      </c>
      <c r="G20">
        <f>=3/5</f>
        <v>0.6</v>
      </c>
    </row>
    <row r="21" spans="1:7" x14ac:dyDescent="0.25">
      <c r="A21" t="s">
        <v>18</v>
      </c>
      <c r="B21" t="s">
        <v>12</v>
      </c>
      <c r="C21" t="s">
        <v>13</v>
      </c>
      <c r="D21">
        <v>3</v>
      </c>
      <c r="E21">
        <v>3</v>
      </c>
      <c r="F21">
        <v>2</v>
      </c>
      <c r="G21">
        <f>=2/3</f>
        <v>0.6666666666666666</v>
      </c>
    </row>
    <row r="22" spans="1:7" x14ac:dyDescent="0.25">
      <c r="A22" t="s">
        <v>18</v>
      </c>
      <c r="B22" t="s">
        <v>14</v>
      </c>
      <c r="C22" t="s">
        <v>7</v>
      </c>
      <c r="D22">
        <v>5</v>
      </c>
      <c r="E22">
        <v>5</v>
      </c>
      <c r="F22">
        <v>3</v>
      </c>
      <c r="G22">
        <f>=5/5</f>
        <v>1</v>
      </c>
    </row>
    <row r="23" spans="1:7" x14ac:dyDescent="0.25">
      <c r="A23" t="s">
        <v>19</v>
      </c>
      <c r="B23" t="s">
        <v>32</v>
      </c>
      <c r="C23" t="s">
        <v>7</v>
      </c>
      <c r="D23">
        <v>4</v>
      </c>
      <c r="E23">
        <v>4</v>
      </c>
      <c r="F23">
        <v>4</v>
      </c>
      <c r="G23">
        <f>=4/4</f>
        <v>1</v>
      </c>
    </row>
    <row r="24" spans="1:7" x14ac:dyDescent="0.25">
      <c r="A24" t="s">
        <v>19</v>
      </c>
      <c r="B24" t="s">
        <v>33</v>
      </c>
      <c r="C24" t="s">
        <v>7</v>
      </c>
      <c r="D24">
        <v>4</v>
      </c>
      <c r="E24">
        <v>5</v>
      </c>
      <c r="F24">
        <v>4</v>
      </c>
      <c r="G24">
        <f>=4/5</f>
        <v>0.8</v>
      </c>
    </row>
    <row r="25" spans="1:7" x14ac:dyDescent="0.25">
      <c r="A25" t="s">
        <v>19</v>
      </c>
      <c r="B25" t="s">
        <v>34</v>
      </c>
      <c r="C25" t="s">
        <v>13</v>
      </c>
      <c r="D25">
        <v>3</v>
      </c>
      <c r="E25">
        <v>4</v>
      </c>
      <c r="F25">
        <v>2</v>
      </c>
      <c r="G25">
        <f>=2/3</f>
        <v>0.6666666666666666</v>
      </c>
    </row>
    <row r="26" spans="1:7" x14ac:dyDescent="0.25">
      <c r="A26" t="s">
        <v>19</v>
      </c>
      <c r="B26" t="s">
        <v>35</v>
      </c>
      <c r="C26" t="s">
        <v>7</v>
      </c>
      <c r="D26">
        <v>4</v>
      </c>
      <c r="E26">
        <v>5</v>
      </c>
      <c r="F26">
        <v>3</v>
      </c>
      <c r="G26">
        <f>=4/5</f>
        <v>0.8</v>
      </c>
    </row>
    <row r="27" spans="1:7" x14ac:dyDescent="0.25">
      <c r="A27" t="s">
        <v>19</v>
      </c>
      <c r="B27" t="s">
        <v>36</v>
      </c>
      <c r="C27" t="s">
        <v>7</v>
      </c>
      <c r="D27">
        <v>4</v>
      </c>
      <c r="E27">
        <v>4</v>
      </c>
      <c r="F27">
        <v>3</v>
      </c>
      <c r="G27">
        <f>=4/4</f>
        <v>1</v>
      </c>
    </row>
    <row r="28" spans="1:7" x14ac:dyDescent="0.25">
      <c r="A28" t="s">
        <v>19</v>
      </c>
      <c r="B28" t="s">
        <v>37</v>
      </c>
      <c r="C28" t="s">
        <v>7</v>
      </c>
      <c r="D28">
        <v>5</v>
      </c>
      <c r="E28">
        <v>5</v>
      </c>
      <c r="F28">
        <v>4</v>
      </c>
      <c r="G28">
        <f>=5/5</f>
        <v>1</v>
      </c>
    </row>
    <row r="29" spans="1:7" x14ac:dyDescent="0.25">
      <c r="A29" t="s">
        <v>19</v>
      </c>
      <c r="B29" t="s">
        <v>10</v>
      </c>
      <c r="C29" t="s">
        <v>7</v>
      </c>
      <c r="D29">
        <v>4</v>
      </c>
      <c r="E29">
        <v>4</v>
      </c>
      <c r="F29">
        <v>4</v>
      </c>
      <c r="G29">
        <f>=4/4</f>
        <v>1</v>
      </c>
    </row>
    <row r="30" spans="1:7" x14ac:dyDescent="0.25">
      <c r="A30" t="s">
        <v>21</v>
      </c>
      <c r="B30" t="s">
        <v>32</v>
      </c>
      <c r="C30" t="s">
        <v>7</v>
      </c>
      <c r="D30">
        <v>4</v>
      </c>
      <c r="E30">
        <v>4</v>
      </c>
      <c r="F30">
        <v>4</v>
      </c>
      <c r="G30">
        <f>=4/4</f>
        <v>1</v>
      </c>
    </row>
    <row r="31" spans="1:7" x14ac:dyDescent="0.25">
      <c r="A31" t="s">
        <v>21</v>
      </c>
      <c r="B31" t="s">
        <v>33</v>
      </c>
      <c r="C31" t="s">
        <v>7</v>
      </c>
      <c r="D31">
        <v>4</v>
      </c>
      <c r="E31">
        <v>5</v>
      </c>
      <c r="F31">
        <v>4</v>
      </c>
      <c r="G31">
        <f>=4/5</f>
        <v>0.8</v>
      </c>
    </row>
    <row r="32" spans="1:7" x14ac:dyDescent="0.25">
      <c r="A32" t="s">
        <v>21</v>
      </c>
      <c r="B32" t="s">
        <v>34</v>
      </c>
      <c r="C32" t="s">
        <v>13</v>
      </c>
      <c r="D32">
        <v>2</v>
      </c>
      <c r="E32">
        <v>4</v>
      </c>
      <c r="F32">
        <v>2</v>
      </c>
      <c r="G32">
        <f>=2/2</f>
        <v>1</v>
      </c>
    </row>
    <row r="33" spans="1:7" x14ac:dyDescent="0.25">
      <c r="A33" t="s">
        <v>21</v>
      </c>
      <c r="B33" t="s">
        <v>35</v>
      </c>
      <c r="C33" t="s">
        <v>7</v>
      </c>
      <c r="D33">
        <v>5</v>
      </c>
      <c r="E33">
        <v>5</v>
      </c>
      <c r="F33">
        <v>3</v>
      </c>
      <c r="G33">
        <f>=5/5</f>
        <v>1</v>
      </c>
    </row>
    <row r="34" spans="1:7" x14ac:dyDescent="0.25">
      <c r="A34" t="s">
        <v>21</v>
      </c>
      <c r="B34" t="s">
        <v>36</v>
      </c>
      <c r="C34" t="s">
        <v>7</v>
      </c>
      <c r="D34">
        <v>4</v>
      </c>
      <c r="E34">
        <v>4</v>
      </c>
      <c r="F34">
        <v>3</v>
      </c>
      <c r="G34">
        <f>=4/4</f>
        <v>1</v>
      </c>
    </row>
    <row r="35" spans="1:7" x14ac:dyDescent="0.25">
      <c r="A35" t="s">
        <v>21</v>
      </c>
      <c r="B35" t="s">
        <v>37</v>
      </c>
      <c r="C35" t="s">
        <v>7</v>
      </c>
      <c r="D35">
        <v>4</v>
      </c>
      <c r="E35">
        <v>5</v>
      </c>
      <c r="F35">
        <v>4</v>
      </c>
      <c r="G35">
        <f>=4/5</f>
        <v>0.8</v>
      </c>
    </row>
    <row r="36" spans="1:7" x14ac:dyDescent="0.25">
      <c r="A36" t="s">
        <v>21</v>
      </c>
      <c r="B36" t="s">
        <v>10</v>
      </c>
      <c r="C36" t="s">
        <v>7</v>
      </c>
      <c r="D36">
        <v>4</v>
      </c>
      <c r="E36">
        <v>4</v>
      </c>
      <c r="F36">
        <v>4</v>
      </c>
      <c r="G36">
        <f>=4/4</f>
        <v>1</v>
      </c>
    </row>
    <row r="37" spans="1:7" x14ac:dyDescent="0.25">
      <c r="A37" t="s">
        <v>22</v>
      </c>
      <c r="B37" t="s">
        <v>32</v>
      </c>
      <c r="C37" t="s">
        <v>7</v>
      </c>
      <c r="D37">
        <v>4</v>
      </c>
      <c r="E37">
        <v>4</v>
      </c>
      <c r="F37">
        <v>4</v>
      </c>
      <c r="G37">
        <f>=4/4</f>
        <v>1</v>
      </c>
    </row>
    <row r="38" spans="1:7" x14ac:dyDescent="0.25">
      <c r="A38" t="s">
        <v>22</v>
      </c>
      <c r="B38" t="s">
        <v>33</v>
      </c>
      <c r="C38" t="s">
        <v>7</v>
      </c>
      <c r="D38">
        <v>5</v>
      </c>
      <c r="E38">
        <v>5</v>
      </c>
      <c r="F38">
        <v>4</v>
      </c>
      <c r="G38">
        <f>=5/5</f>
        <v>1</v>
      </c>
    </row>
    <row r="39" spans="1:7" x14ac:dyDescent="0.25">
      <c r="A39" t="s">
        <v>22</v>
      </c>
      <c r="B39" t="s">
        <v>34</v>
      </c>
      <c r="C39" t="s">
        <v>13</v>
      </c>
      <c r="D39">
        <v>4</v>
      </c>
      <c r="E39">
        <v>4</v>
      </c>
      <c r="F39">
        <v>2</v>
      </c>
      <c r="G39">
        <f>=2/4</f>
        <v>0.5</v>
      </c>
    </row>
    <row r="40" spans="1:7" x14ac:dyDescent="0.25">
      <c r="A40" t="s">
        <v>22</v>
      </c>
      <c r="B40" t="s">
        <v>35</v>
      </c>
      <c r="C40" t="s">
        <v>7</v>
      </c>
      <c r="D40">
        <v>3</v>
      </c>
      <c r="E40">
        <v>5</v>
      </c>
      <c r="F40">
        <v>3</v>
      </c>
      <c r="G40">
        <f>=3/5</f>
        <v>0.6</v>
      </c>
    </row>
    <row r="41" spans="1:7" x14ac:dyDescent="0.25">
      <c r="A41" t="s">
        <v>22</v>
      </c>
      <c r="B41" t="s">
        <v>36</v>
      </c>
      <c r="C41" t="s">
        <v>7</v>
      </c>
      <c r="D41">
        <v>3</v>
      </c>
      <c r="E41">
        <v>4</v>
      </c>
      <c r="F41">
        <v>3</v>
      </c>
      <c r="G41">
        <f>=3/4</f>
        <v>0.75</v>
      </c>
    </row>
    <row r="42" spans="1:7" x14ac:dyDescent="0.25">
      <c r="A42" t="s">
        <v>22</v>
      </c>
      <c r="B42" t="s">
        <v>37</v>
      </c>
      <c r="C42" t="s">
        <v>7</v>
      </c>
      <c r="D42">
        <v>5</v>
      </c>
      <c r="E42">
        <v>5</v>
      </c>
      <c r="F42">
        <v>4</v>
      </c>
      <c r="G42">
        <f>=5/5</f>
        <v>1</v>
      </c>
    </row>
    <row r="43" spans="1:7" x14ac:dyDescent="0.25">
      <c r="A43" t="s">
        <v>22</v>
      </c>
      <c r="B43" t="s">
        <v>10</v>
      </c>
      <c r="C43" t="s">
        <v>7</v>
      </c>
      <c r="D43">
        <v>4</v>
      </c>
      <c r="E43">
        <v>4</v>
      </c>
      <c r="F43">
        <v>4</v>
      </c>
      <c r="G43">
        <f>=4/4</f>
        <v>1</v>
      </c>
    </row>
    <row r="44" spans="1:7" x14ac:dyDescent="0.25">
      <c r="A44" t="s">
        <v>23</v>
      </c>
      <c r="B44" t="s">
        <v>38</v>
      </c>
      <c r="C44" t="s">
        <v>7</v>
      </c>
      <c r="D44">
        <v>4</v>
      </c>
      <c r="E44">
        <v>4</v>
      </c>
      <c r="F44">
        <v>3</v>
      </c>
      <c r="G44">
        <f>=4/4</f>
        <v>1</v>
      </c>
    </row>
    <row r="45" spans="1:7" x14ac:dyDescent="0.25">
      <c r="A45" t="s">
        <v>23</v>
      </c>
      <c r="B45" t="s">
        <v>39</v>
      </c>
      <c r="C45" t="s">
        <v>7</v>
      </c>
      <c r="D45">
        <v>4</v>
      </c>
      <c r="E45">
        <v>4</v>
      </c>
      <c r="F45">
        <v>3</v>
      </c>
      <c r="G45">
        <f>=4/4</f>
        <v>1</v>
      </c>
    </row>
    <row r="46" spans="1:7" x14ac:dyDescent="0.25">
      <c r="A46" t="s">
        <v>23</v>
      </c>
      <c r="B46" t="s">
        <v>40</v>
      </c>
      <c r="C46" t="s">
        <v>7</v>
      </c>
      <c r="D46">
        <v>4</v>
      </c>
      <c r="E46">
        <v>4</v>
      </c>
      <c r="F46">
        <v>4</v>
      </c>
      <c r="G46">
        <f>=4/4</f>
        <v>1</v>
      </c>
    </row>
    <row r="47" spans="1:7" x14ac:dyDescent="0.25">
      <c r="A47" t="s">
        <v>23</v>
      </c>
      <c r="B47" t="s">
        <v>41</v>
      </c>
      <c r="C47" t="s">
        <v>13</v>
      </c>
      <c r="D47">
        <v>3</v>
      </c>
      <c r="E47">
        <v>4</v>
      </c>
      <c r="F47">
        <v>3</v>
      </c>
      <c r="G47">
        <f>=3/3</f>
        <v>1</v>
      </c>
    </row>
    <row r="48" spans="1:7" x14ac:dyDescent="0.25">
      <c r="A48" t="s">
        <v>23</v>
      </c>
      <c r="B48" t="s">
        <v>42</v>
      </c>
      <c r="C48" t="s">
        <v>7</v>
      </c>
      <c r="D48">
        <v>5</v>
      </c>
      <c r="E48">
        <v>5</v>
      </c>
      <c r="F48">
        <v>4</v>
      </c>
      <c r="G48">
        <f>=5/5</f>
        <v>1</v>
      </c>
    </row>
    <row r="49" spans="1:7" x14ac:dyDescent="0.25">
      <c r="A49" t="s">
        <v>23</v>
      </c>
      <c r="B49" t="s">
        <v>43</v>
      </c>
      <c r="C49" t="s">
        <v>7</v>
      </c>
      <c r="D49">
        <v>4</v>
      </c>
      <c r="E49">
        <v>4</v>
      </c>
      <c r="F49">
        <v>3</v>
      </c>
      <c r="G49">
        <f>=4/4</f>
        <v>1</v>
      </c>
    </row>
    <row r="50" spans="1:7" x14ac:dyDescent="0.25">
      <c r="A50" t="s">
        <v>25</v>
      </c>
      <c r="B50" t="s">
        <v>38</v>
      </c>
      <c r="C50" t="s">
        <v>7</v>
      </c>
      <c r="D50">
        <v>4</v>
      </c>
      <c r="E50">
        <v>4</v>
      </c>
      <c r="F50">
        <v>3</v>
      </c>
      <c r="G50">
        <f>=4/4</f>
        <v>1</v>
      </c>
    </row>
    <row r="51" spans="1:7" x14ac:dyDescent="0.25">
      <c r="A51" t="s">
        <v>25</v>
      </c>
      <c r="B51" t="s">
        <v>39</v>
      </c>
      <c r="C51" t="s">
        <v>7</v>
      </c>
      <c r="D51">
        <v>4</v>
      </c>
      <c r="E51">
        <v>4</v>
      </c>
      <c r="F51">
        <v>3</v>
      </c>
      <c r="G51">
        <f>=4/4</f>
        <v>1</v>
      </c>
    </row>
    <row r="52" spans="1:7" x14ac:dyDescent="0.25">
      <c r="A52" t="s">
        <v>25</v>
      </c>
      <c r="B52" t="s">
        <v>40</v>
      </c>
      <c r="C52" t="s">
        <v>7</v>
      </c>
      <c r="D52">
        <v>4</v>
      </c>
      <c r="E52">
        <v>4</v>
      </c>
      <c r="F52">
        <v>4</v>
      </c>
      <c r="G52">
        <f>=4/4</f>
        <v>1</v>
      </c>
    </row>
    <row r="53" spans="1:7" x14ac:dyDescent="0.25">
      <c r="A53" t="s">
        <v>25</v>
      </c>
      <c r="B53" t="s">
        <v>41</v>
      </c>
      <c r="C53" t="s">
        <v>13</v>
      </c>
      <c r="D53">
        <v>3</v>
      </c>
      <c r="E53">
        <v>4</v>
      </c>
      <c r="F53">
        <v>3</v>
      </c>
      <c r="G53">
        <f>=3/3</f>
        <v>1</v>
      </c>
    </row>
    <row r="54" spans="1:7" x14ac:dyDescent="0.25">
      <c r="A54" t="s">
        <v>25</v>
      </c>
      <c r="B54" t="s">
        <v>42</v>
      </c>
      <c r="C54" t="s">
        <v>7</v>
      </c>
      <c r="D54">
        <v>5</v>
      </c>
      <c r="E54">
        <v>5</v>
      </c>
      <c r="F54">
        <v>4</v>
      </c>
      <c r="G54">
        <f>=5/5</f>
        <v>1</v>
      </c>
    </row>
    <row r="55" spans="1:7" x14ac:dyDescent="0.25">
      <c r="A55" t="s">
        <v>25</v>
      </c>
      <c r="B55" t="s">
        <v>43</v>
      </c>
      <c r="C55" t="s">
        <v>7</v>
      </c>
      <c r="D55">
        <v>3</v>
      </c>
      <c r="E55">
        <v>4</v>
      </c>
      <c r="F55">
        <v>3</v>
      </c>
      <c r="G55">
        <f>=3/4</f>
        <v>0.75</v>
      </c>
    </row>
    <row r="56" spans="1:7" x14ac:dyDescent="0.25">
      <c r="A56" t="s">
        <v>26</v>
      </c>
      <c r="B56" t="s">
        <v>38</v>
      </c>
      <c r="C56" t="s">
        <v>7</v>
      </c>
      <c r="D56">
        <v>3</v>
      </c>
      <c r="E56">
        <v>4</v>
      </c>
      <c r="F56">
        <v>3</v>
      </c>
      <c r="G56">
        <f>=3/4</f>
        <v>0.75</v>
      </c>
    </row>
    <row r="57" spans="1:7" x14ac:dyDescent="0.25">
      <c r="A57" t="s">
        <v>26</v>
      </c>
      <c r="B57" t="s">
        <v>39</v>
      </c>
      <c r="C57" t="s">
        <v>7</v>
      </c>
      <c r="D57">
        <v>3</v>
      </c>
      <c r="E57">
        <v>4</v>
      </c>
      <c r="F57">
        <v>3</v>
      </c>
      <c r="G57">
        <f>=3/4</f>
        <v>0.75</v>
      </c>
    </row>
    <row r="58" spans="1:7" x14ac:dyDescent="0.25">
      <c r="A58" t="s">
        <v>26</v>
      </c>
      <c r="B58" t="s">
        <v>40</v>
      </c>
      <c r="C58" t="s">
        <v>7</v>
      </c>
      <c r="D58">
        <v>4</v>
      </c>
      <c r="E58">
        <v>4</v>
      </c>
      <c r="F58">
        <v>4</v>
      </c>
      <c r="G58">
        <f>=4/4</f>
        <v>1</v>
      </c>
    </row>
    <row r="59" spans="1:7" x14ac:dyDescent="0.25">
      <c r="A59" t="s">
        <v>26</v>
      </c>
      <c r="B59" t="s">
        <v>41</v>
      </c>
      <c r="C59" t="s">
        <v>13</v>
      </c>
      <c r="D59">
        <v>4</v>
      </c>
      <c r="E59">
        <v>4</v>
      </c>
      <c r="F59">
        <v>3</v>
      </c>
      <c r="G59">
        <f>=3/4</f>
        <v>0.75</v>
      </c>
    </row>
    <row r="60" spans="1:7" x14ac:dyDescent="0.25">
      <c r="A60" t="s">
        <v>26</v>
      </c>
      <c r="B60" t="s">
        <v>42</v>
      </c>
      <c r="C60" t="s">
        <v>7</v>
      </c>
      <c r="D60">
        <v>4</v>
      </c>
      <c r="E60">
        <v>5</v>
      </c>
      <c r="F60">
        <v>4</v>
      </c>
      <c r="G60">
        <f>=4/5</f>
        <v>0.8</v>
      </c>
    </row>
    <row r="61" spans="1:7" x14ac:dyDescent="0.25">
      <c r="A61" t="s">
        <v>26</v>
      </c>
      <c r="B61" t="s">
        <v>43</v>
      </c>
      <c r="C61" t="s">
        <v>7</v>
      </c>
      <c r="D61">
        <v>4</v>
      </c>
      <c r="E61">
        <v>4</v>
      </c>
      <c r="F61">
        <v>3</v>
      </c>
      <c r="G61">
        <f>=4/4</f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sheetData>
    <row r="1" spans="1:9" x14ac:dyDescent="0.25">
      <c r="A1" t="s">
        <v>15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</row>
    <row r="2" spans="1:9" x14ac:dyDescent="0.25">
      <c r="A2" t="s">
        <v>16</v>
      </c>
      <c r="B2">
        <v>690000000</v>
      </c>
      <c r="C2">
        <v>0.8673056</v>
      </c>
      <c r="D2">
        <v>0.8673056</v>
      </c>
      <c r="E2">
        <v>0</v>
      </c>
      <c r="F2">
        <v>598440864</v>
      </c>
      <c r="G2">
        <v>598440864</v>
      </c>
      <c r="H2">
        <v>0</v>
      </c>
      <c r="I2" t="s">
        <v>52</v>
      </c>
    </row>
    <row r="3" spans="1:9" x14ac:dyDescent="0.25">
      <c r="A3" t="s">
        <v>17</v>
      </c>
      <c r="B3">
        <v>1800000000</v>
      </c>
      <c r="C3">
        <v>0.9876682000000001</v>
      </c>
      <c r="D3">
        <v>0.9876682000000001</v>
      </c>
      <c r="E3">
        <v>0</v>
      </c>
      <c r="F3">
        <v>1777802760.0000002</v>
      </c>
      <c r="G3">
        <v>1777802760.0000002</v>
      </c>
      <c r="H3">
        <v>0</v>
      </c>
      <c r="I3" t="s">
        <v>52</v>
      </c>
    </row>
    <row r="4" spans="1:9" x14ac:dyDescent="0.25">
      <c r="A4" t="s">
        <v>18</v>
      </c>
      <c r="B4">
        <v>250000000</v>
      </c>
      <c r="C4">
        <v>0.7537515333333334</v>
      </c>
      <c r="D4">
        <v>0.7537515333333334</v>
      </c>
      <c r="E4">
        <v>0</v>
      </c>
      <c r="F4">
        <v>188437883.33333337</v>
      </c>
      <c r="G4">
        <v>188437883.33333337</v>
      </c>
      <c r="H4">
        <v>0</v>
      </c>
      <c r="I4" t="s">
        <v>52</v>
      </c>
    </row>
    <row r="5" spans="1:9" x14ac:dyDescent="0.25">
      <c r="A5" t="s">
        <v>19</v>
      </c>
      <c r="B5">
        <v>150000000</v>
      </c>
      <c r="C5">
        <v>0.8984089333333333</v>
      </c>
      <c r="D5">
        <v>0.8984089333333333</v>
      </c>
      <c r="E5">
        <v>0</v>
      </c>
      <c r="F5">
        <v>134761340</v>
      </c>
      <c r="G5">
        <v>134761340</v>
      </c>
      <c r="H5">
        <v>0</v>
      </c>
      <c r="I5" t="s">
        <v>52</v>
      </c>
    </row>
    <row r="6" spans="1:9" x14ac:dyDescent="0.25">
      <c r="A6" t="s">
        <v>21</v>
      </c>
      <c r="B6">
        <v>12900000</v>
      </c>
      <c r="C6">
        <v>0.9508554</v>
      </c>
      <c r="D6">
        <v>0.9508554</v>
      </c>
      <c r="E6">
        <v>0</v>
      </c>
      <c r="F6">
        <v>12266034.66</v>
      </c>
      <c r="G6">
        <v>12266034.66</v>
      </c>
      <c r="H6">
        <v>0</v>
      </c>
      <c r="I6" t="s">
        <v>52</v>
      </c>
    </row>
    <row r="7" spans="1:9" x14ac:dyDescent="0.25">
      <c r="A7" t="s">
        <v>22</v>
      </c>
      <c r="B7">
        <v>179000000</v>
      </c>
      <c r="C7">
        <v>0.8565344000000001</v>
      </c>
      <c r="D7">
        <v>0.8565344000000001</v>
      </c>
      <c r="E7">
        <v>0</v>
      </c>
      <c r="F7">
        <v>153319657.60000002</v>
      </c>
      <c r="G7">
        <v>153319657.60000002</v>
      </c>
      <c r="H7">
        <v>0</v>
      </c>
      <c r="I7" t="s">
        <v>52</v>
      </c>
    </row>
    <row r="8" spans="1:9" x14ac:dyDescent="0.25">
      <c r="A8" t="s">
        <v>23</v>
      </c>
      <c r="B8">
        <v>5850000</v>
      </c>
      <c r="C8">
        <v>0.999999</v>
      </c>
      <c r="D8">
        <v>0.999999</v>
      </c>
      <c r="E8">
        <v>0</v>
      </c>
      <c r="F8">
        <v>5849994.149999999</v>
      </c>
      <c r="G8">
        <v>5849994.149999999</v>
      </c>
      <c r="H8">
        <v>0</v>
      </c>
      <c r="I8" t="s">
        <v>52</v>
      </c>
    </row>
    <row r="9" spans="1:9" x14ac:dyDescent="0.25">
      <c r="A9" t="s">
        <v>25</v>
      </c>
      <c r="B9">
        <v>5800000</v>
      </c>
      <c r="C9">
        <v>0.9803065</v>
      </c>
      <c r="D9">
        <v>0.9803065</v>
      </c>
      <c r="E9">
        <v>0</v>
      </c>
      <c r="F9">
        <v>5685777.7</v>
      </c>
      <c r="G9">
        <v>5685777.7</v>
      </c>
      <c r="H9">
        <v>0</v>
      </c>
      <c r="I9" t="s">
        <v>52</v>
      </c>
    </row>
    <row r="10" spans="1:9" x14ac:dyDescent="0.25">
      <c r="A10" t="s">
        <v>26</v>
      </c>
      <c r="B10">
        <v>3300000</v>
      </c>
      <c r="C10">
        <v>0.8293214499999999</v>
      </c>
      <c r="D10">
        <v>0.8293214499999999</v>
      </c>
      <c r="E10">
        <v>0</v>
      </c>
      <c r="F10">
        <v>2736760.7849999997</v>
      </c>
      <c r="G10">
        <v>2736760.7849999997</v>
      </c>
      <c r="H10">
        <v>0</v>
      </c>
      <c r="I10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x14ac:dyDescent="0.25">
      <c r="A1" t="s">
        <v>53</v>
      </c>
      <c r="B1" t="s">
        <v>54</v>
      </c>
    </row>
    <row r="2" spans="1:2" x14ac:dyDescent="0.25">
      <c r="A2" t="s">
        <v>55</v>
      </c>
      <c r="B2" t="s">
        <v>56</v>
      </c>
    </row>
    <row r="3" spans="1:2" x14ac:dyDescent="0.25">
      <c r="A3" t="s">
        <v>57</v>
      </c>
      <c r="B3" t="s">
        <v>58</v>
      </c>
    </row>
    <row r="4" spans="1:2" x14ac:dyDescent="0.25">
      <c r="A4" t="s">
        <v>59</v>
      </c>
      <c r="B4">
        <v>9</v>
      </c>
    </row>
    <row r="5" spans="1:2" x14ac:dyDescent="0.25">
      <c r="A5" t="s">
        <v>60</v>
      </c>
      <c r="B5">
        <v>45</v>
      </c>
    </row>
    <row r="6" spans="1:2" x14ac:dyDescent="0.25">
      <c r="A6" t="s">
        <v>61</v>
      </c>
      <c r="B6" t="s">
        <v>62</v>
      </c>
    </row>
    <row r="7" spans="1:2" x14ac:dyDescent="0.25">
      <c r="A7" t="s">
        <v>63</v>
      </c>
      <c r="B7" t="s">
        <v>64</v>
      </c>
    </row>
    <row r="8" spans="1:2" x14ac:dyDescent="0.25">
      <c r="A8" t="s">
        <v>65</v>
      </c>
      <c r="B8" t="s">
        <v>66</v>
      </c>
    </row>
    <row r="9" spans="1:2" x14ac:dyDescent="0.25">
      <c r="A9" t="s">
        <v>67</v>
      </c>
      <c r="B9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Bobot_AHP</vt:lpstr>
      <vt:lpstr>Matriks_Keputusan</vt:lpstr>
      <vt:lpstr>Normalisasi_SAW</vt:lpstr>
      <vt:lpstr>Preferensi</vt:lpstr>
      <vt:lpstr>Verifikasi_Sistem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JCIS-V3-Regression</dc:creator>
  <dc:title/>
  <dc:subject/>
  <dc:description/>
  <cp:keywords/>
  <cp:category/>
  <cp:lastModifiedBy>Unknown</cp:lastModifiedBy>
  <dcterms:created xsi:type="dcterms:W3CDTF">2026-07-15T01:55:23Z</dcterms:created>
  <dcterms:modified xsi:type="dcterms:W3CDTF">2026-07-15T01:55:23Z</dcterms:modified>
</cp:coreProperties>
</file>